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4b052693df74d93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nielTN\Desktop\CP212\Assignments\A5\v2\"/>
    </mc:Choice>
  </mc:AlternateContent>
  <bookViews>
    <workbookView xWindow="0" yWindow="0" windowWidth="28800" windowHeight="12435"/>
  </bookViews>
  <sheets>
    <sheet name="Welcome" sheetId="1" r:id="rId1"/>
    <sheet name="Example Sheet" sheetId="304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304" l="1"/>
  <c r="L15" i="304"/>
  <c r="L14" i="304"/>
  <c r="L13" i="304"/>
  <c r="L12" i="304"/>
  <c r="L11" i="304"/>
  <c r="L10" i="304"/>
  <c r="L9" i="304"/>
  <c r="L8" i="304"/>
  <c r="L7" i="304"/>
  <c r="L6" i="304"/>
  <c r="J52" i="304"/>
  <c r="J51" i="304"/>
  <c r="J50" i="304"/>
  <c r="J49" i="304"/>
  <c r="J48" i="304"/>
  <c r="J47" i="304"/>
  <c r="J46" i="304"/>
  <c r="J45" i="304"/>
  <c r="J44" i="304"/>
  <c r="J43" i="304"/>
  <c r="J42" i="304"/>
  <c r="J41" i="304"/>
  <c r="J40" i="304"/>
  <c r="J39" i="304"/>
  <c r="J38" i="304"/>
  <c r="J37" i="304"/>
  <c r="J36" i="304"/>
  <c r="J35" i="304"/>
  <c r="J34" i="304"/>
  <c r="J33" i="304"/>
  <c r="J32" i="304"/>
  <c r="J31" i="304"/>
  <c r="J30" i="304"/>
  <c r="J29" i="304"/>
  <c r="J28" i="304"/>
  <c r="J27" i="304"/>
  <c r="J26" i="304"/>
  <c r="J25" i="304"/>
  <c r="J24" i="304"/>
  <c r="J23" i="304"/>
  <c r="J22" i="304"/>
  <c r="J21" i="304"/>
  <c r="J20" i="304"/>
  <c r="J19" i="304"/>
  <c r="J18" i="304"/>
  <c r="J17" i="304"/>
  <c r="J16" i="304"/>
  <c r="J15" i="304"/>
  <c r="J14" i="304"/>
  <c r="J13" i="304"/>
  <c r="J12" i="304"/>
  <c r="J11" i="304"/>
  <c r="J10" i="304"/>
  <c r="J9" i="304"/>
  <c r="J8" i="304"/>
  <c r="J7" i="304"/>
  <c r="J6" i="304"/>
  <c r="J5" i="304"/>
  <c r="J4" i="304"/>
  <c r="J3" i="304"/>
</calcChain>
</file>

<file path=xl/sharedStrings.xml><?xml version="1.0" encoding="utf-8"?>
<sst xmlns="http://schemas.openxmlformats.org/spreadsheetml/2006/main" count="170" uniqueCount="170">
  <si>
    <t>Students Enrolled in AS101</t>
  </si>
  <si>
    <t>First Name</t>
  </si>
  <si>
    <t>Last Name</t>
  </si>
  <si>
    <t>Student ID</t>
  </si>
  <si>
    <t>Syrena</t>
  </si>
  <si>
    <t>Endivain</t>
  </si>
  <si>
    <t>2015_1</t>
  </si>
  <si>
    <t>Irizon</t>
  </si>
  <si>
    <t>Exibil</t>
  </si>
  <si>
    <t>2015_2</t>
  </si>
  <si>
    <t>Del-Nara</t>
  </si>
  <si>
    <t>Cardan</t>
  </si>
  <si>
    <t>2015_3</t>
  </si>
  <si>
    <t>Ara</t>
  </si>
  <si>
    <t>Zerga</t>
  </si>
  <si>
    <t>2015_4</t>
  </si>
  <si>
    <t>Agnook</t>
  </si>
  <si>
    <t>Tiovata</t>
  </si>
  <si>
    <t>2015_5</t>
  </si>
  <si>
    <t>Ghent</t>
  </si>
  <si>
    <t>Taurendil</t>
  </si>
  <si>
    <t>2015_6</t>
  </si>
  <si>
    <t>Shass</t>
  </si>
  <si>
    <t>Major</t>
  </si>
  <si>
    <t>2015_7</t>
  </si>
  <si>
    <t>Anjylle</t>
  </si>
  <si>
    <t>Ulluto</t>
  </si>
  <si>
    <t>2015_8</t>
  </si>
  <si>
    <t>Sim</t>
  </si>
  <si>
    <t>Ashen</t>
  </si>
  <si>
    <t>2015_9</t>
  </si>
  <si>
    <t>Kahar</t>
  </si>
  <si>
    <t>Donos</t>
  </si>
  <si>
    <t>2015_10</t>
  </si>
  <si>
    <t>Zae</t>
  </si>
  <si>
    <t>Kaiser</t>
  </si>
  <si>
    <t>2015_11</t>
  </si>
  <si>
    <t>Koro</t>
  </si>
  <si>
    <t>Magre</t>
  </si>
  <si>
    <t>2015_12</t>
  </si>
  <si>
    <t>Lenders</t>
  </si>
  <si>
    <t>Turon</t>
  </si>
  <si>
    <t>2015_13</t>
  </si>
  <si>
    <t>Mala</t>
  </si>
  <si>
    <t>Varless</t>
  </si>
  <si>
    <t>2015_14</t>
  </si>
  <si>
    <t>Jag</t>
  </si>
  <si>
    <t>Nafeel</t>
  </si>
  <si>
    <t>2015_15</t>
  </si>
  <si>
    <t>Innoruuk</t>
  </si>
  <si>
    <t>Finn</t>
  </si>
  <si>
    <t>2015_16</t>
  </si>
  <si>
    <t>Keever</t>
  </si>
  <si>
    <t>Phrog</t>
  </si>
  <si>
    <t>2015_17</t>
  </si>
  <si>
    <t>Kaarl</t>
  </si>
  <si>
    <t>Nooram</t>
  </si>
  <si>
    <t>2015_18</t>
  </si>
  <si>
    <t>Tomas</t>
  </si>
  <si>
    <t>Pescer</t>
  </si>
  <si>
    <t>2015_19</t>
  </si>
  <si>
    <t>Allen</t>
  </si>
  <si>
    <t>Bernard</t>
  </si>
  <si>
    <t>2015_20</t>
  </si>
  <si>
    <t>Strilath</t>
  </si>
  <si>
    <t>Mnaa</t>
  </si>
  <si>
    <t>2015_21</t>
  </si>
  <si>
    <t>Tomra</t>
  </si>
  <si>
    <t>Yavoog</t>
  </si>
  <si>
    <t>2015_22</t>
  </si>
  <si>
    <t>Adoniram</t>
  </si>
  <si>
    <t>Vadith</t>
  </si>
  <si>
    <t>2015_23</t>
  </si>
  <si>
    <t>Braganti</t>
  </si>
  <si>
    <t>Sudime</t>
  </si>
  <si>
    <t>2015_24</t>
  </si>
  <si>
    <t>Oren</t>
  </si>
  <si>
    <t>Haruhana</t>
  </si>
  <si>
    <t>2015_25</t>
  </si>
  <si>
    <t>Reiko</t>
  </si>
  <si>
    <t>Erelen</t>
  </si>
  <si>
    <t>2015_26</t>
  </si>
  <si>
    <t>Jakuu</t>
  </si>
  <si>
    <t>Hawkes</t>
  </si>
  <si>
    <t>2015_27</t>
  </si>
  <si>
    <t>Tifa</t>
  </si>
  <si>
    <t>Nere</t>
  </si>
  <si>
    <t>2015_28</t>
  </si>
  <si>
    <t>Adan</t>
  </si>
  <si>
    <t>Mackali</t>
  </si>
  <si>
    <t>2015_29</t>
  </si>
  <si>
    <t>Xerda</t>
  </si>
  <si>
    <t>Duann</t>
  </si>
  <si>
    <t>2015_30</t>
  </si>
  <si>
    <t>Lila</t>
  </si>
  <si>
    <t>Bintaghr</t>
  </si>
  <si>
    <t>2015_31</t>
  </si>
  <si>
    <t>Noah</t>
  </si>
  <si>
    <t>Rohtul</t>
  </si>
  <si>
    <t>2015_32</t>
  </si>
  <si>
    <t>Yiukie</t>
  </si>
  <si>
    <t>Eronoss</t>
  </si>
  <si>
    <t>2015_33</t>
  </si>
  <si>
    <t>Kai</t>
  </si>
  <si>
    <t>Dalgas</t>
  </si>
  <si>
    <t>2015_34</t>
  </si>
  <si>
    <t>Tobian</t>
  </si>
  <si>
    <t>Tarmin</t>
  </si>
  <si>
    <t>2015_35</t>
  </si>
  <si>
    <t>Gaeton</t>
  </si>
  <si>
    <t>Lerann</t>
  </si>
  <si>
    <t>2015_36</t>
  </si>
  <si>
    <t>Montross</t>
  </si>
  <si>
    <t>Anarth</t>
  </si>
  <si>
    <t>2015_37</t>
  </si>
  <si>
    <t>Karn</t>
  </si>
  <si>
    <t>Tong</t>
  </si>
  <si>
    <t>2015_38</t>
  </si>
  <si>
    <t>Tendra</t>
  </si>
  <si>
    <t>Olgad</t>
  </si>
  <si>
    <t>2015_39</t>
  </si>
  <si>
    <t>Ubinaarisan</t>
  </si>
  <si>
    <t>Shaknaw</t>
  </si>
  <si>
    <t>2015_40</t>
  </si>
  <si>
    <t>Tarash</t>
  </si>
  <si>
    <t>Selkayim</t>
  </si>
  <si>
    <t>2015_41</t>
  </si>
  <si>
    <t>Shivas</t>
  </si>
  <si>
    <t>Leqarna</t>
  </si>
  <si>
    <t>2015_42</t>
  </si>
  <si>
    <t>Akana</t>
  </si>
  <si>
    <t>Morrow</t>
  </si>
  <si>
    <t>2015_43</t>
  </si>
  <si>
    <t>Kristofer</t>
  </si>
  <si>
    <t>Kriek Kolbrun</t>
  </si>
  <si>
    <t>2015_44</t>
  </si>
  <si>
    <t>Roth</t>
  </si>
  <si>
    <t>We</t>
  </si>
  <si>
    <t>2015_45</t>
  </si>
  <si>
    <t>Roy</t>
  </si>
  <si>
    <t>Starwalker</t>
  </si>
  <si>
    <t>2015_46</t>
  </si>
  <si>
    <t>Dorn</t>
  </si>
  <si>
    <t>Shysha</t>
  </si>
  <si>
    <t>2015_47</t>
  </si>
  <si>
    <t>Karva</t>
  </si>
  <si>
    <t>Shapris</t>
  </si>
  <si>
    <t>2015_48</t>
  </si>
  <si>
    <t>Cess</t>
  </si>
  <si>
    <t>Zayelt</t>
  </si>
  <si>
    <t>2015_49</t>
  </si>
  <si>
    <t>Dodge</t>
  </si>
  <si>
    <t>Jantsk</t>
  </si>
  <si>
    <t>2015_50</t>
  </si>
  <si>
    <t>A1</t>
  </si>
  <si>
    <t>A3</t>
  </si>
  <si>
    <t>A4</t>
  </si>
  <si>
    <t>A2</t>
  </si>
  <si>
    <t>Exam</t>
  </si>
  <si>
    <t>Midterm</t>
  </si>
  <si>
    <t>Final Grade</t>
  </si>
  <si>
    <t>Average</t>
  </si>
  <si>
    <t>Standard Deviation</t>
  </si>
  <si>
    <t>Daniel Nguyen 201460890</t>
  </si>
  <si>
    <t>Welcome to my application (CP212 - Assignment 5)</t>
  </si>
  <si>
    <t>When you are ready to start, please click on the CP212 top (top right)</t>
  </si>
  <si>
    <t>Please review the attached word document before starting.</t>
  </si>
  <si>
    <t>Then click on the smiley face to start.</t>
  </si>
  <si>
    <t>Grade Bound</t>
  </si>
  <si>
    <t>Grade 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</si>
</sst>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1" fillId="0" borderId="0" xfId="0" applyFont="1"/>
    <xf numFmtId="0" fontId="1" fillId="3" borderId="0" xfId="0" applyFont="1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Final Grades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'Example Sheet'!$L$5</c:f>
              <c:strCache>
                <c:ptCount val="1"/>
                <c:pt idx="0">
                  <c:v>Grade Frequency</c:v>
                </c:pt>
              </c:strCache>
            </c:strRef>
          </c:tx>
          <c:spPr>
            <a:solidFill>
              <a:srgbClr val="44546A">
                <a:lumMod val="100000"/>
              </a:srgbClr>
            </a:solidFill>
            <a:ln>
              <a:solidFill>
                <a:srgbClr val="000000"/>
              </a:solidFill>
            </a:ln>
            <a:effectLst/>
          </c:spPr>
          <c:invertIfNegative val="0"/>
          <c:cat>
            <c:numRef>
              <c:f>'Example Sheet'!$K$6:$K$16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</c:numCache>
            </c:numRef>
          </c:cat>
          <c:val>
            <c:numRef>
              <c:f>'Example Sheet'!$L$6:$L$16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9</c:v>
                </c:pt>
                <c:pt idx="6">
                  <c:v>9</c:v>
                </c:pt>
                <c:pt idx="7">
                  <c:v>2</c:v>
                </c:pt>
                <c:pt idx="8">
                  <c:v>15</c:v>
                </c:pt>
                <c:pt idx="9">
                  <c:v>11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0300184"/>
        <c:axId val="251178576"/>
      </c:barChart>
      <c:catAx>
        <c:axId val="250300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Grade Percentage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78576"/>
        <c:crosses val="autoZero"/>
        <c:auto val="1"/>
        <c:lblAlgn val="ctr"/>
        <c:lblOffset val="100"/>
        <c:noMultiLvlLbl val="0"/>
      </c:catAx>
      <c:valAx>
        <c:axId val="2511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Students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30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>
          <a:lumMod val="100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71437</xdr:colOff>
      <xdr:row>16</xdr:row>
      <xdr:rowOff>119062</xdr:rowOff>
    </xdr:from>
    <xdr:to>
      <xdr:col>16</xdr:col>
      <xdr:colOff>442912</xdr:colOff>
      <xdr:row>31</xdr:row>
      <xdr:rowOff>4762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22"/>
  <sheetViews>
    <sheetView tabSelected="1" workbookViewId="0"/>
  </sheetViews>
  <sheetFormatPr defaultRowHeight="15.75" x14ac:dyDescent="0.25"/>
  <cols>
    <col min="1" max="16384" width="9.140625" style="2"/>
  </cols>
  <sheetData>
    <row r="2" spans="2:11" x14ac:dyDescent="0.25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25">
      <c r="B3" s="1"/>
      <c r="C3" s="1"/>
      <c r="D3" s="1"/>
      <c r="E3" s="1"/>
      <c r="F3" s="1"/>
      <c r="G3" s="1"/>
      <c r="H3" s="1"/>
      <c r="I3" s="1"/>
      <c r="J3" s="1"/>
      <c r="K3" s="1"/>
    </row>
    <row r="4" spans="2:11" x14ac:dyDescent="0.25">
      <c r="B4" s="1"/>
      <c r="C4" s="3" t="s">
        <v>164</v>
      </c>
      <c r="D4" s="3"/>
      <c r="E4" s="3"/>
      <c r="F4" s="3"/>
      <c r="G4" s="3"/>
      <c r="H4" s="3"/>
      <c r="I4" s="3"/>
      <c r="J4" s="3"/>
      <c r="K4" s="1"/>
    </row>
    <row r="5" spans="2:11" x14ac:dyDescent="0.25">
      <c r="B5" s="1"/>
      <c r="C5" s="3"/>
      <c r="D5" s="3"/>
      <c r="E5" s="3"/>
      <c r="F5" s="3"/>
      <c r="G5" s="3"/>
      <c r="H5" s="3"/>
      <c r="I5" s="3"/>
      <c r="J5" s="3"/>
      <c r="K5" s="1"/>
    </row>
    <row r="6" spans="2:11" x14ac:dyDescent="0.25">
      <c r="B6" s="1"/>
      <c r="C6" s="3" t="s">
        <v>166</v>
      </c>
      <c r="D6" s="3"/>
      <c r="E6" s="3"/>
      <c r="F6" s="3"/>
      <c r="G6" s="3"/>
      <c r="H6" s="3"/>
      <c r="I6" s="3"/>
      <c r="J6" s="3"/>
      <c r="K6" s="1"/>
    </row>
    <row r="7" spans="2:11" x14ac:dyDescent="0.25">
      <c r="B7" s="1"/>
      <c r="C7" s="3" t="s">
        <v>165</v>
      </c>
      <c r="D7" s="3"/>
      <c r="E7" s="3"/>
      <c r="F7" s="3"/>
      <c r="G7" s="3"/>
      <c r="H7" s="3"/>
      <c r="I7" s="3"/>
      <c r="J7" s="3"/>
      <c r="K7" s="1"/>
    </row>
    <row r="8" spans="2:11" x14ac:dyDescent="0.25">
      <c r="B8" s="1"/>
      <c r="C8" s="3" t="s">
        <v>167</v>
      </c>
      <c r="D8" s="3"/>
      <c r="E8" s="3"/>
      <c r="F8" s="3"/>
      <c r="G8" s="3"/>
      <c r="H8" s="3"/>
      <c r="I8" s="3"/>
      <c r="J8" s="3"/>
      <c r="K8" s="1"/>
    </row>
    <row r="9" spans="2:11" x14ac:dyDescent="0.25">
      <c r="B9" s="1"/>
      <c r="C9" s="3"/>
      <c r="D9" s="3"/>
      <c r="E9" s="3"/>
      <c r="F9" s="3"/>
      <c r="G9" s="3"/>
      <c r="H9" s="3"/>
      <c r="I9" s="3"/>
      <c r="J9" s="3"/>
      <c r="K9" s="1"/>
    </row>
    <row r="10" spans="2:11" x14ac:dyDescent="0.25">
      <c r="B10" s="1"/>
      <c r="C10" s="3" t="s">
        <v>163</v>
      </c>
      <c r="D10" s="3"/>
      <c r="E10" s="3"/>
      <c r="F10" s="3"/>
      <c r="G10" s="3"/>
      <c r="H10" s="3"/>
      <c r="I10" s="3"/>
      <c r="J10" s="3"/>
      <c r="K10" s="1"/>
    </row>
    <row r="11" spans="2:11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2:11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2:11" x14ac:dyDescent="0.25">
      <c r="B13" s="4"/>
      <c r="C13" s="4"/>
      <c r="D13" s="4"/>
      <c r="E13" s="4"/>
      <c r="F13" s="4"/>
      <c r="G13" s="4"/>
      <c r="H13" s="4"/>
      <c r="I13" s="4"/>
      <c r="J13" s="4"/>
      <c r="K13" s="4"/>
    </row>
    <row r="14" spans="2:11" x14ac:dyDescent="0.25"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2:11" x14ac:dyDescent="0.25"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2:11" x14ac:dyDescent="0.25"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2:11" x14ac:dyDescent="0.25"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2:11" x14ac:dyDescent="0.25">
      <c r="B18" s="4"/>
      <c r="C18" s="4"/>
      <c r="D18" s="4"/>
      <c r="E18" s="4"/>
      <c r="F18" s="4"/>
      <c r="G18" s="4"/>
      <c r="H18" s="4"/>
      <c r="I18" s="4"/>
      <c r="J18" s="4"/>
      <c r="K18" s="4"/>
    </row>
    <row r="19" spans="2:1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2:1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</row>
    <row r="21" spans="2:1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2:11" x14ac:dyDescent="0.25">
      <c r="B22" s="4"/>
      <c r="C22" s="4"/>
      <c r="D22" s="4"/>
      <c r="E22" s="4"/>
      <c r="F22" s="4"/>
      <c r="G22" s="4"/>
      <c r="H22" s="4"/>
      <c r="I22" s="4"/>
      <c r="J22" s="4"/>
      <c r="K22" s="4"/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52"/>
  <sheetViews>
    <sheetView workbookViewId="0"/>
  </sheetViews>
  <sheetFormatPr defaultRowHeight="15" x14ac:dyDescent="0.25"/>
  <cols>
    <col min="1" max="1" width="25" bestFit="1" customWidth="1"/>
    <col min="2" max="2" width="13.140625" bestFit="1" customWidth="1"/>
    <col min="3" max="3" width="10.28515625" bestFit="1" customWidth="1"/>
    <col min="4" max="7" width="3.28515625" bestFit="1" customWidth="1"/>
    <col min="8" max="8" width="8.7109375" bestFit="1" customWidth="1"/>
    <col min="9" max="9" width="5.7109375" bestFit="1" customWidth="1"/>
    <col min="10" max="10" width="11" bestFit="1" customWidth="1"/>
    <col min="11" max="11" width="8.28515625" bestFit="1" customWidth="1"/>
    <col min="12" max="12" width="18.140625" bestFit="1" customWidth="1"/>
  </cols>
  <sheetData>
    <row r="1" spans="1:12" x14ac:dyDescent="0.25">
      <c r="A1" t="s">
        <v>0</v>
      </c>
    </row>
    <row r="2" spans="1:12" x14ac:dyDescent="0.25">
      <c r="A2" t="s">
        <v>1</v>
      </c>
      <c r="B2" t="s">
        <v>2</v>
      </c>
      <c r="C2" t="s">
        <v>3</v>
      </c>
      <c r="D2" t="s">
        <v>154</v>
      </c>
      <c r="E2" t="s">
        <v>157</v>
      </c>
      <c r="F2" t="s">
        <v>155</v>
      </c>
      <c r="G2" t="s">
        <v>156</v>
      </c>
      <c r="H2" t="s">
        <v>159</v>
      </c>
      <c r="I2" t="s">
        <v>158</v>
      </c>
      <c r="J2" t="s">
        <v>160</v>
      </c>
      <c r="K2" t="s">
        <v>161</v>
      </c>
      <c r="L2" t="s">
        <v>162</v>
      </c>
    </row>
    <row r="3" spans="1:12" x14ac:dyDescent="0.25">
      <c r="A3" t="s">
        <v>4</v>
      </c>
      <c r="B3" t="s">
        <v>5</v>
      </c>
      <c r="C3" t="s">
        <v>6</v>
      </c>
      <c r="D3">
        <v>70</v>
      </c>
      <c r="E3">
        <v>63</v>
      </c>
      <c r="F3">
        <v>88</v>
      </c>
      <c r="G3">
        <v>91</v>
      </c>
      <c r="H3">
        <v>80</v>
      </c>
      <c r="I3">
        <v>71</v>
      </c>
      <c r="J3">
        <f t="shared" ref="J3:J34" si="0">AVERAGE(D3:G3)*0.2 +H3*0.3+I3*0.5</f>
        <v>75.099999999999994</v>
      </c>
      <c r="K3">
        <v>74.42</v>
      </c>
      <c r="L3">
        <v>14.42</v>
      </c>
    </row>
    <row r="4" spans="1:12" x14ac:dyDescent="0.25">
      <c r="A4" t="s">
        <v>7</v>
      </c>
      <c r="B4" t="s">
        <v>8</v>
      </c>
      <c r="C4" t="s">
        <v>9</v>
      </c>
      <c r="D4">
        <v>66</v>
      </c>
      <c r="E4">
        <v>84</v>
      </c>
      <c r="F4">
        <v>81</v>
      </c>
      <c r="G4">
        <v>74</v>
      </c>
      <c r="H4">
        <v>45</v>
      </c>
      <c r="I4">
        <v>53</v>
      </c>
      <c r="J4">
        <f t="shared" si="0"/>
        <v>55.25</v>
      </c>
    </row>
    <row r="5" spans="1:12" x14ac:dyDescent="0.25">
      <c r="A5" t="s">
        <v>10</v>
      </c>
      <c r="B5" t="s">
        <v>11</v>
      </c>
      <c r="C5" t="s">
        <v>12</v>
      </c>
      <c r="D5">
        <v>64</v>
      </c>
      <c r="E5">
        <v>96</v>
      </c>
      <c r="F5">
        <v>97</v>
      </c>
      <c r="G5">
        <v>45</v>
      </c>
      <c r="H5">
        <v>89</v>
      </c>
      <c r="I5">
        <v>67</v>
      </c>
      <c r="J5">
        <f t="shared" si="0"/>
        <v>75.3</v>
      </c>
      <c r="K5" t="s">
        <v>168</v>
      </c>
      <c r="L5" t="s">
        <v>169</v>
      </c>
    </row>
    <row r="6" spans="1:12" x14ac:dyDescent="0.25">
      <c r="A6" t="s">
        <v>13</v>
      </c>
      <c r="B6" t="s">
        <v>14</v>
      </c>
      <c r="C6" t="s">
        <v>15</v>
      </c>
      <c r="D6">
        <v>88</v>
      </c>
      <c r="E6">
        <v>47</v>
      </c>
      <c r="F6">
        <v>65</v>
      </c>
      <c r="G6">
        <v>74</v>
      </c>
      <c r="H6">
        <v>94</v>
      </c>
      <c r="I6">
        <v>69</v>
      </c>
      <c r="J6">
        <f t="shared" si="0"/>
        <v>76.400000000000006</v>
      </c>
      <c r="K6">
        <v>0</v>
      </c>
      <c r="L6">
        <f>COUNTIFS($H$3:$H$1001,"&gt;=0",$H$3:$H$1001,"&lt;"&amp;K7)</f>
        <v>0</v>
      </c>
    </row>
    <row r="7" spans="1:12" x14ac:dyDescent="0.25">
      <c r="A7" t="s">
        <v>16</v>
      </c>
      <c r="B7" t="s">
        <v>17</v>
      </c>
      <c r="C7" t="s">
        <v>18</v>
      </c>
      <c r="D7">
        <v>96</v>
      </c>
      <c r="E7">
        <v>45</v>
      </c>
      <c r="F7">
        <v>88</v>
      </c>
      <c r="G7">
        <v>60</v>
      </c>
      <c r="H7">
        <v>96</v>
      </c>
      <c r="I7">
        <v>79</v>
      </c>
      <c r="J7">
        <f t="shared" si="0"/>
        <v>82.75</v>
      </c>
      <c r="K7">
        <v>10</v>
      </c>
      <c r="L7">
        <f t="shared" ref="L7:L15" si="1">COUNTIFS($H$3:$H$1001,"&gt;="&amp;K7,$H$3:$H$1001,"&lt;"&amp;K8)</f>
        <v>0</v>
      </c>
    </row>
    <row r="8" spans="1:12" x14ac:dyDescent="0.25">
      <c r="A8" t="s">
        <v>19</v>
      </c>
      <c r="B8" t="s">
        <v>20</v>
      </c>
      <c r="C8" t="s">
        <v>21</v>
      </c>
      <c r="D8">
        <v>78</v>
      </c>
      <c r="E8">
        <v>93</v>
      </c>
      <c r="F8">
        <v>67</v>
      </c>
      <c r="G8">
        <v>89</v>
      </c>
      <c r="H8">
        <v>80</v>
      </c>
      <c r="I8">
        <v>55</v>
      </c>
      <c r="J8">
        <f t="shared" si="0"/>
        <v>67.849999999999994</v>
      </c>
      <c r="K8">
        <v>20</v>
      </c>
      <c r="L8">
        <f t="shared" si="1"/>
        <v>0</v>
      </c>
    </row>
    <row r="9" spans="1:12" x14ac:dyDescent="0.25">
      <c r="A9" t="s">
        <v>22</v>
      </c>
      <c r="B9" t="s">
        <v>23</v>
      </c>
      <c r="C9" t="s">
        <v>24</v>
      </c>
      <c r="D9">
        <v>96</v>
      </c>
      <c r="E9">
        <v>91</v>
      </c>
      <c r="F9">
        <v>58</v>
      </c>
      <c r="G9">
        <v>80</v>
      </c>
      <c r="H9">
        <v>93</v>
      </c>
      <c r="I9">
        <v>75</v>
      </c>
      <c r="J9">
        <f t="shared" si="0"/>
        <v>81.650000000000006</v>
      </c>
      <c r="K9">
        <v>30</v>
      </c>
      <c r="L9">
        <f t="shared" si="1"/>
        <v>0</v>
      </c>
    </row>
    <row r="10" spans="1:12" x14ac:dyDescent="0.25">
      <c r="A10" t="s">
        <v>25</v>
      </c>
      <c r="B10" t="s">
        <v>26</v>
      </c>
      <c r="C10" t="s">
        <v>27</v>
      </c>
      <c r="D10">
        <v>52</v>
      </c>
      <c r="E10">
        <v>54</v>
      </c>
      <c r="F10">
        <v>97</v>
      </c>
      <c r="G10">
        <v>97</v>
      </c>
      <c r="H10">
        <v>91</v>
      </c>
      <c r="I10">
        <v>91</v>
      </c>
      <c r="J10">
        <f t="shared" si="0"/>
        <v>87.8</v>
      </c>
      <c r="K10">
        <v>40</v>
      </c>
      <c r="L10">
        <f t="shared" si="1"/>
        <v>4</v>
      </c>
    </row>
    <row r="11" spans="1:12" x14ac:dyDescent="0.25">
      <c r="A11" t="s">
        <v>28</v>
      </c>
      <c r="B11" t="s">
        <v>29</v>
      </c>
      <c r="C11" t="s">
        <v>30</v>
      </c>
      <c r="D11">
        <v>85</v>
      </c>
      <c r="E11">
        <v>87</v>
      </c>
      <c r="F11">
        <v>65</v>
      </c>
      <c r="G11">
        <v>87</v>
      </c>
      <c r="H11">
        <v>54</v>
      </c>
      <c r="I11">
        <v>63</v>
      </c>
      <c r="J11">
        <f t="shared" si="0"/>
        <v>63.9</v>
      </c>
      <c r="K11">
        <v>50</v>
      </c>
      <c r="L11">
        <f t="shared" si="1"/>
        <v>9</v>
      </c>
    </row>
    <row r="12" spans="1:12" x14ac:dyDescent="0.25">
      <c r="A12" t="s">
        <v>31</v>
      </c>
      <c r="B12" t="s">
        <v>32</v>
      </c>
      <c r="C12" t="s">
        <v>33</v>
      </c>
      <c r="D12">
        <v>73</v>
      </c>
      <c r="E12">
        <v>47</v>
      </c>
      <c r="F12">
        <v>83</v>
      </c>
      <c r="G12">
        <v>82</v>
      </c>
      <c r="H12">
        <v>69</v>
      </c>
      <c r="I12">
        <v>85</v>
      </c>
      <c r="J12">
        <f t="shared" si="0"/>
        <v>77.45</v>
      </c>
      <c r="K12">
        <v>60</v>
      </c>
      <c r="L12">
        <f t="shared" si="1"/>
        <v>9</v>
      </c>
    </row>
    <row r="13" spans="1:12" x14ac:dyDescent="0.25">
      <c r="A13" t="s">
        <v>34</v>
      </c>
      <c r="B13" t="s">
        <v>35</v>
      </c>
      <c r="C13" t="s">
        <v>36</v>
      </c>
      <c r="D13">
        <v>62</v>
      </c>
      <c r="E13">
        <v>66</v>
      </c>
      <c r="F13">
        <v>80</v>
      </c>
      <c r="G13">
        <v>74</v>
      </c>
      <c r="H13">
        <v>57</v>
      </c>
      <c r="I13">
        <v>89</v>
      </c>
      <c r="J13">
        <f t="shared" si="0"/>
        <v>75.7</v>
      </c>
      <c r="K13">
        <v>70</v>
      </c>
      <c r="L13">
        <f t="shared" si="1"/>
        <v>2</v>
      </c>
    </row>
    <row r="14" spans="1:12" x14ac:dyDescent="0.25">
      <c r="A14" t="s">
        <v>37</v>
      </c>
      <c r="B14" t="s">
        <v>38</v>
      </c>
      <c r="C14" t="s">
        <v>39</v>
      </c>
      <c r="D14">
        <v>92</v>
      </c>
      <c r="E14">
        <v>76</v>
      </c>
      <c r="F14">
        <v>59</v>
      </c>
      <c r="G14">
        <v>61</v>
      </c>
      <c r="H14">
        <v>68</v>
      </c>
      <c r="I14">
        <v>66</v>
      </c>
      <c r="J14">
        <f t="shared" si="0"/>
        <v>67.8</v>
      </c>
      <c r="K14">
        <v>80</v>
      </c>
      <c r="L14">
        <f t="shared" si="1"/>
        <v>15</v>
      </c>
    </row>
    <row r="15" spans="1:12" x14ac:dyDescent="0.25">
      <c r="A15" t="s">
        <v>40</v>
      </c>
      <c r="B15" t="s">
        <v>41</v>
      </c>
      <c r="C15" t="s">
        <v>42</v>
      </c>
      <c r="D15">
        <v>97</v>
      </c>
      <c r="E15">
        <v>49</v>
      </c>
      <c r="F15">
        <v>52</v>
      </c>
      <c r="G15">
        <v>98</v>
      </c>
      <c r="H15">
        <v>82</v>
      </c>
      <c r="I15">
        <v>57</v>
      </c>
      <c r="J15">
        <f t="shared" si="0"/>
        <v>67.900000000000006</v>
      </c>
      <c r="K15">
        <v>90</v>
      </c>
      <c r="L15">
        <f t="shared" si="1"/>
        <v>11</v>
      </c>
    </row>
    <row r="16" spans="1:12" x14ac:dyDescent="0.25">
      <c r="A16" t="s">
        <v>43</v>
      </c>
      <c r="B16" t="s">
        <v>44</v>
      </c>
      <c r="C16" t="s">
        <v>45</v>
      </c>
      <c r="D16">
        <v>55</v>
      </c>
      <c r="E16">
        <v>93</v>
      </c>
      <c r="F16">
        <v>86</v>
      </c>
      <c r="G16">
        <v>88</v>
      </c>
      <c r="H16">
        <v>54</v>
      </c>
      <c r="I16">
        <v>56</v>
      </c>
      <c r="J16">
        <f t="shared" si="0"/>
        <v>60.3</v>
      </c>
      <c r="K16">
        <v>100</v>
      </c>
      <c r="L16">
        <f>COUNTIFS($H$3:$H$1001,"&gt;=100",$H$3:$H$1001,"=&lt;100")</f>
        <v>0</v>
      </c>
    </row>
    <row r="17" spans="1:10" x14ac:dyDescent="0.25">
      <c r="A17" t="s">
        <v>46</v>
      </c>
      <c r="B17" t="s">
        <v>47</v>
      </c>
      <c r="C17" t="s">
        <v>48</v>
      </c>
      <c r="D17">
        <v>52</v>
      </c>
      <c r="E17">
        <v>95</v>
      </c>
      <c r="F17">
        <v>47</v>
      </c>
      <c r="G17">
        <v>86</v>
      </c>
      <c r="H17">
        <v>88</v>
      </c>
      <c r="I17">
        <v>75</v>
      </c>
      <c r="J17">
        <f t="shared" si="0"/>
        <v>77.900000000000006</v>
      </c>
    </row>
    <row r="18" spans="1:10" x14ac:dyDescent="0.25">
      <c r="A18" t="s">
        <v>49</v>
      </c>
      <c r="B18" t="s">
        <v>50</v>
      </c>
      <c r="C18" t="s">
        <v>51</v>
      </c>
      <c r="D18">
        <v>78</v>
      </c>
      <c r="E18">
        <v>46</v>
      </c>
      <c r="F18">
        <v>66</v>
      </c>
      <c r="G18">
        <v>61</v>
      </c>
      <c r="H18">
        <v>83</v>
      </c>
      <c r="I18">
        <v>60</v>
      </c>
      <c r="J18">
        <f t="shared" si="0"/>
        <v>67.45</v>
      </c>
    </row>
    <row r="19" spans="1:10" x14ac:dyDescent="0.25">
      <c r="A19" t="s">
        <v>52</v>
      </c>
      <c r="B19" t="s">
        <v>53</v>
      </c>
      <c r="C19" t="s">
        <v>54</v>
      </c>
      <c r="D19">
        <v>61</v>
      </c>
      <c r="E19">
        <v>56</v>
      </c>
      <c r="F19">
        <v>62</v>
      </c>
      <c r="G19">
        <v>75</v>
      </c>
      <c r="H19">
        <v>80</v>
      </c>
      <c r="I19">
        <v>82</v>
      </c>
      <c r="J19">
        <f t="shared" si="0"/>
        <v>77.7</v>
      </c>
    </row>
    <row r="20" spans="1:10" x14ac:dyDescent="0.25">
      <c r="A20" t="s">
        <v>55</v>
      </c>
      <c r="B20" t="s">
        <v>56</v>
      </c>
      <c r="C20" t="s">
        <v>57</v>
      </c>
      <c r="D20">
        <v>46</v>
      </c>
      <c r="E20">
        <v>69</v>
      </c>
      <c r="F20">
        <v>80</v>
      </c>
      <c r="G20">
        <v>83</v>
      </c>
      <c r="H20">
        <v>96</v>
      </c>
      <c r="I20">
        <v>46</v>
      </c>
      <c r="J20">
        <f t="shared" si="0"/>
        <v>65.699999999999989</v>
      </c>
    </row>
    <row r="21" spans="1:10" x14ac:dyDescent="0.25">
      <c r="A21" t="s">
        <v>58</v>
      </c>
      <c r="B21" t="s">
        <v>59</v>
      </c>
      <c r="C21" t="s">
        <v>60</v>
      </c>
      <c r="D21">
        <v>66</v>
      </c>
      <c r="E21">
        <v>76</v>
      </c>
      <c r="F21">
        <v>85</v>
      </c>
      <c r="G21">
        <v>97</v>
      </c>
      <c r="H21">
        <v>66</v>
      </c>
      <c r="I21">
        <v>86</v>
      </c>
      <c r="J21">
        <f t="shared" si="0"/>
        <v>79</v>
      </c>
    </row>
    <row r="22" spans="1:10" x14ac:dyDescent="0.25">
      <c r="A22" t="s">
        <v>61</v>
      </c>
      <c r="B22" t="s">
        <v>62</v>
      </c>
      <c r="C22" t="s">
        <v>63</v>
      </c>
      <c r="D22">
        <v>75</v>
      </c>
      <c r="E22">
        <v>89</v>
      </c>
      <c r="F22">
        <v>65</v>
      </c>
      <c r="G22">
        <v>46</v>
      </c>
      <c r="H22">
        <v>69</v>
      </c>
      <c r="I22">
        <v>77</v>
      </c>
      <c r="J22">
        <f t="shared" si="0"/>
        <v>72.95</v>
      </c>
    </row>
    <row r="23" spans="1:10" x14ac:dyDescent="0.25">
      <c r="A23" t="s">
        <v>64</v>
      </c>
      <c r="B23" t="s">
        <v>65</v>
      </c>
      <c r="C23" t="s">
        <v>66</v>
      </c>
      <c r="D23">
        <v>50</v>
      </c>
      <c r="E23">
        <v>64</v>
      </c>
      <c r="F23">
        <v>58</v>
      </c>
      <c r="G23">
        <v>69</v>
      </c>
      <c r="H23">
        <v>58</v>
      </c>
      <c r="I23">
        <v>79</v>
      </c>
      <c r="J23">
        <f t="shared" si="0"/>
        <v>68.95</v>
      </c>
    </row>
    <row r="24" spans="1:10" x14ac:dyDescent="0.25">
      <c r="A24" t="s">
        <v>67</v>
      </c>
      <c r="B24" t="s">
        <v>68</v>
      </c>
      <c r="C24" t="s">
        <v>69</v>
      </c>
      <c r="D24">
        <v>73</v>
      </c>
      <c r="E24">
        <v>55</v>
      </c>
      <c r="F24">
        <v>87</v>
      </c>
      <c r="G24">
        <v>57</v>
      </c>
      <c r="H24">
        <v>79</v>
      </c>
      <c r="I24">
        <v>95</v>
      </c>
      <c r="J24">
        <f t="shared" si="0"/>
        <v>84.8</v>
      </c>
    </row>
    <row r="25" spans="1:10" x14ac:dyDescent="0.25">
      <c r="A25" t="s">
        <v>70</v>
      </c>
      <c r="B25" t="s">
        <v>71</v>
      </c>
      <c r="C25" t="s">
        <v>72</v>
      </c>
      <c r="D25">
        <v>85</v>
      </c>
      <c r="E25">
        <v>54</v>
      </c>
      <c r="F25">
        <v>58</v>
      </c>
      <c r="G25">
        <v>84</v>
      </c>
      <c r="H25">
        <v>75</v>
      </c>
      <c r="I25">
        <v>96</v>
      </c>
      <c r="J25">
        <f t="shared" si="0"/>
        <v>84.55</v>
      </c>
    </row>
    <row r="26" spans="1:10" x14ac:dyDescent="0.25">
      <c r="A26" t="s">
        <v>73</v>
      </c>
      <c r="B26" t="s">
        <v>74</v>
      </c>
      <c r="C26" t="s">
        <v>75</v>
      </c>
      <c r="D26">
        <v>49</v>
      </c>
      <c r="E26">
        <v>45</v>
      </c>
      <c r="F26">
        <v>86</v>
      </c>
      <c r="G26">
        <v>49</v>
      </c>
      <c r="H26">
        <v>48</v>
      </c>
      <c r="I26">
        <v>96</v>
      </c>
      <c r="J26">
        <f t="shared" si="0"/>
        <v>73.849999999999994</v>
      </c>
    </row>
    <row r="27" spans="1:10" x14ac:dyDescent="0.25">
      <c r="A27" t="s">
        <v>76</v>
      </c>
      <c r="B27" t="s">
        <v>77</v>
      </c>
      <c r="C27" t="s">
        <v>78</v>
      </c>
      <c r="D27">
        <v>59</v>
      </c>
      <c r="E27">
        <v>63</v>
      </c>
      <c r="F27">
        <v>82</v>
      </c>
      <c r="G27">
        <v>87</v>
      </c>
      <c r="H27">
        <v>89</v>
      </c>
      <c r="I27">
        <v>89</v>
      </c>
      <c r="J27">
        <f t="shared" si="0"/>
        <v>85.75</v>
      </c>
    </row>
    <row r="28" spans="1:10" x14ac:dyDescent="0.25">
      <c r="A28" t="s">
        <v>79</v>
      </c>
      <c r="B28" t="s">
        <v>80</v>
      </c>
      <c r="C28" t="s">
        <v>81</v>
      </c>
      <c r="D28">
        <v>93</v>
      </c>
      <c r="E28">
        <v>62</v>
      </c>
      <c r="F28">
        <v>69</v>
      </c>
      <c r="G28">
        <v>49</v>
      </c>
      <c r="H28">
        <v>87</v>
      </c>
      <c r="I28">
        <v>91</v>
      </c>
      <c r="J28">
        <f t="shared" si="0"/>
        <v>85.25</v>
      </c>
    </row>
    <row r="29" spans="1:10" x14ac:dyDescent="0.25">
      <c r="A29" t="s">
        <v>82</v>
      </c>
      <c r="B29" t="s">
        <v>83</v>
      </c>
      <c r="C29" t="s">
        <v>84</v>
      </c>
      <c r="D29">
        <v>92</v>
      </c>
      <c r="E29">
        <v>97</v>
      </c>
      <c r="F29">
        <v>81</v>
      </c>
      <c r="G29">
        <v>98</v>
      </c>
      <c r="H29">
        <v>88</v>
      </c>
      <c r="I29">
        <v>54</v>
      </c>
      <c r="J29">
        <f t="shared" si="0"/>
        <v>71.8</v>
      </c>
    </row>
    <row r="30" spans="1:10" x14ac:dyDescent="0.25">
      <c r="A30" t="s">
        <v>85</v>
      </c>
      <c r="B30" t="s">
        <v>86</v>
      </c>
      <c r="C30" t="s">
        <v>87</v>
      </c>
      <c r="D30">
        <v>54</v>
      </c>
      <c r="E30">
        <v>82</v>
      </c>
      <c r="F30">
        <v>73</v>
      </c>
      <c r="G30">
        <v>63</v>
      </c>
      <c r="H30">
        <v>51</v>
      </c>
      <c r="I30">
        <v>92</v>
      </c>
      <c r="J30">
        <f t="shared" si="0"/>
        <v>74.900000000000006</v>
      </c>
    </row>
    <row r="31" spans="1:10" x14ac:dyDescent="0.25">
      <c r="A31" t="s">
        <v>88</v>
      </c>
      <c r="B31" t="s">
        <v>89</v>
      </c>
      <c r="C31" t="s">
        <v>90</v>
      </c>
      <c r="D31">
        <v>53</v>
      </c>
      <c r="E31">
        <v>59</v>
      </c>
      <c r="F31">
        <v>55</v>
      </c>
      <c r="G31">
        <v>59</v>
      </c>
      <c r="H31">
        <v>82</v>
      </c>
      <c r="I31">
        <v>83</v>
      </c>
      <c r="J31">
        <f t="shared" si="0"/>
        <v>77.400000000000006</v>
      </c>
    </row>
    <row r="32" spans="1:10" x14ac:dyDescent="0.25">
      <c r="A32" t="s">
        <v>91</v>
      </c>
      <c r="B32" t="s">
        <v>92</v>
      </c>
      <c r="C32" t="s">
        <v>93</v>
      </c>
      <c r="D32">
        <v>46</v>
      </c>
      <c r="E32">
        <v>45</v>
      </c>
      <c r="F32">
        <v>47</v>
      </c>
      <c r="G32">
        <v>49</v>
      </c>
      <c r="H32">
        <v>45</v>
      </c>
      <c r="I32">
        <v>70</v>
      </c>
      <c r="J32">
        <f t="shared" si="0"/>
        <v>57.85</v>
      </c>
    </row>
    <row r="33" spans="1:10" x14ac:dyDescent="0.25">
      <c r="A33" t="s">
        <v>94</v>
      </c>
      <c r="B33" t="s">
        <v>95</v>
      </c>
      <c r="C33" t="s">
        <v>96</v>
      </c>
      <c r="D33">
        <v>65</v>
      </c>
      <c r="E33">
        <v>83</v>
      </c>
      <c r="F33">
        <v>49</v>
      </c>
      <c r="G33">
        <v>89</v>
      </c>
      <c r="H33">
        <v>98</v>
      </c>
      <c r="I33">
        <v>77</v>
      </c>
      <c r="J33">
        <f t="shared" si="0"/>
        <v>82.2</v>
      </c>
    </row>
    <row r="34" spans="1:10" x14ac:dyDescent="0.25">
      <c r="A34" t="s">
        <v>97</v>
      </c>
      <c r="B34" t="s">
        <v>98</v>
      </c>
      <c r="C34" t="s">
        <v>99</v>
      </c>
      <c r="D34">
        <v>92</v>
      </c>
      <c r="E34">
        <v>64</v>
      </c>
      <c r="F34">
        <v>83</v>
      </c>
      <c r="G34">
        <v>93</v>
      </c>
      <c r="H34">
        <v>80</v>
      </c>
      <c r="I34">
        <v>67</v>
      </c>
      <c r="J34">
        <f t="shared" si="0"/>
        <v>74.099999999999994</v>
      </c>
    </row>
    <row r="35" spans="1:10" x14ac:dyDescent="0.25">
      <c r="A35" t="s">
        <v>100</v>
      </c>
      <c r="B35" t="s">
        <v>101</v>
      </c>
      <c r="C35" t="s">
        <v>102</v>
      </c>
      <c r="D35">
        <v>75</v>
      </c>
      <c r="E35">
        <v>73</v>
      </c>
      <c r="F35">
        <v>84</v>
      </c>
      <c r="G35">
        <v>90</v>
      </c>
      <c r="H35">
        <v>52</v>
      </c>
      <c r="I35">
        <v>84</v>
      </c>
      <c r="J35">
        <f t="shared" ref="J35:J66" si="2">AVERAGE(D35:G35)*0.2 +H35*0.3+I35*0.5</f>
        <v>73.7</v>
      </c>
    </row>
    <row r="36" spans="1:10" x14ac:dyDescent="0.25">
      <c r="A36" t="s">
        <v>103</v>
      </c>
      <c r="B36" t="s">
        <v>104</v>
      </c>
      <c r="C36" t="s">
        <v>105</v>
      </c>
      <c r="D36">
        <v>71</v>
      </c>
      <c r="E36">
        <v>62</v>
      </c>
      <c r="F36">
        <v>93</v>
      </c>
      <c r="G36">
        <v>67</v>
      </c>
      <c r="H36">
        <v>59</v>
      </c>
      <c r="I36">
        <v>67</v>
      </c>
      <c r="J36">
        <f t="shared" si="2"/>
        <v>65.849999999999994</v>
      </c>
    </row>
    <row r="37" spans="1:10" x14ac:dyDescent="0.25">
      <c r="A37" t="s">
        <v>106</v>
      </c>
      <c r="B37" t="s">
        <v>107</v>
      </c>
      <c r="C37" t="s">
        <v>108</v>
      </c>
      <c r="D37">
        <v>65</v>
      </c>
      <c r="E37">
        <v>92</v>
      </c>
      <c r="F37">
        <v>62</v>
      </c>
      <c r="G37">
        <v>78</v>
      </c>
      <c r="H37">
        <v>94</v>
      </c>
      <c r="I37">
        <v>48</v>
      </c>
      <c r="J37">
        <f t="shared" si="2"/>
        <v>67.05</v>
      </c>
    </row>
    <row r="38" spans="1:10" x14ac:dyDescent="0.25">
      <c r="A38" t="s">
        <v>109</v>
      </c>
      <c r="B38" t="s">
        <v>110</v>
      </c>
      <c r="C38" t="s">
        <v>111</v>
      </c>
      <c r="D38">
        <v>93</v>
      </c>
      <c r="E38">
        <v>63</v>
      </c>
      <c r="F38">
        <v>91</v>
      </c>
      <c r="G38">
        <v>81</v>
      </c>
      <c r="H38">
        <v>90</v>
      </c>
      <c r="I38">
        <v>77</v>
      </c>
      <c r="J38">
        <f t="shared" si="2"/>
        <v>81.900000000000006</v>
      </c>
    </row>
    <row r="39" spans="1:10" x14ac:dyDescent="0.25">
      <c r="A39" t="s">
        <v>112</v>
      </c>
      <c r="B39" t="s">
        <v>113</v>
      </c>
      <c r="C39" t="s">
        <v>114</v>
      </c>
      <c r="D39">
        <v>46</v>
      </c>
      <c r="E39">
        <v>86</v>
      </c>
      <c r="F39">
        <v>86</v>
      </c>
      <c r="G39">
        <v>47</v>
      </c>
      <c r="H39">
        <v>61</v>
      </c>
      <c r="I39">
        <v>79</v>
      </c>
      <c r="J39">
        <f t="shared" si="2"/>
        <v>71.05</v>
      </c>
    </row>
    <row r="40" spans="1:10" x14ac:dyDescent="0.25">
      <c r="A40" t="s">
        <v>115</v>
      </c>
      <c r="B40" t="s">
        <v>116</v>
      </c>
      <c r="C40" t="s">
        <v>117</v>
      </c>
      <c r="D40">
        <v>59</v>
      </c>
      <c r="E40">
        <v>93</v>
      </c>
      <c r="F40">
        <v>88</v>
      </c>
      <c r="G40">
        <v>92</v>
      </c>
      <c r="H40">
        <v>58</v>
      </c>
      <c r="I40">
        <v>84</v>
      </c>
      <c r="J40">
        <f t="shared" si="2"/>
        <v>76</v>
      </c>
    </row>
    <row r="41" spans="1:10" x14ac:dyDescent="0.25">
      <c r="A41" t="s">
        <v>118</v>
      </c>
      <c r="B41" t="s">
        <v>119</v>
      </c>
      <c r="C41" t="s">
        <v>120</v>
      </c>
      <c r="D41">
        <v>78</v>
      </c>
      <c r="E41">
        <v>87</v>
      </c>
      <c r="F41">
        <v>57</v>
      </c>
      <c r="G41">
        <v>77</v>
      </c>
      <c r="H41">
        <v>49</v>
      </c>
      <c r="I41">
        <v>98</v>
      </c>
      <c r="J41">
        <f t="shared" si="2"/>
        <v>78.650000000000006</v>
      </c>
    </row>
    <row r="42" spans="1:10" x14ac:dyDescent="0.25">
      <c r="A42" t="s">
        <v>121</v>
      </c>
      <c r="B42" t="s">
        <v>122</v>
      </c>
      <c r="C42" t="s">
        <v>123</v>
      </c>
      <c r="D42">
        <v>84</v>
      </c>
      <c r="E42">
        <v>63</v>
      </c>
      <c r="F42">
        <v>87</v>
      </c>
      <c r="G42">
        <v>50</v>
      </c>
      <c r="H42">
        <v>54</v>
      </c>
      <c r="I42">
        <v>72</v>
      </c>
      <c r="J42">
        <f t="shared" si="2"/>
        <v>66.400000000000006</v>
      </c>
    </row>
    <row r="43" spans="1:10" x14ac:dyDescent="0.25">
      <c r="A43" t="s">
        <v>124</v>
      </c>
      <c r="B43" t="s">
        <v>125</v>
      </c>
      <c r="C43" t="s">
        <v>126</v>
      </c>
      <c r="D43">
        <v>80</v>
      </c>
      <c r="E43">
        <v>87</v>
      </c>
      <c r="F43">
        <v>91</v>
      </c>
      <c r="G43">
        <v>61</v>
      </c>
      <c r="H43">
        <v>66</v>
      </c>
      <c r="I43">
        <v>89</v>
      </c>
      <c r="J43">
        <f t="shared" si="2"/>
        <v>80.25</v>
      </c>
    </row>
    <row r="44" spans="1:10" x14ac:dyDescent="0.25">
      <c r="A44" t="s">
        <v>127</v>
      </c>
      <c r="B44" t="s">
        <v>128</v>
      </c>
      <c r="C44" t="s">
        <v>129</v>
      </c>
      <c r="D44">
        <v>45</v>
      </c>
      <c r="E44">
        <v>92</v>
      </c>
      <c r="F44">
        <v>67</v>
      </c>
      <c r="G44">
        <v>94</v>
      </c>
      <c r="H44">
        <v>66</v>
      </c>
      <c r="I44">
        <v>96</v>
      </c>
      <c r="J44">
        <f t="shared" si="2"/>
        <v>82.7</v>
      </c>
    </row>
    <row r="45" spans="1:10" x14ac:dyDescent="0.25">
      <c r="A45" t="s">
        <v>130</v>
      </c>
      <c r="B45" t="s">
        <v>131</v>
      </c>
      <c r="C45" t="s">
        <v>132</v>
      </c>
      <c r="D45">
        <v>62</v>
      </c>
      <c r="E45">
        <v>79</v>
      </c>
      <c r="F45">
        <v>49</v>
      </c>
      <c r="G45">
        <v>85</v>
      </c>
      <c r="H45">
        <v>87</v>
      </c>
      <c r="I45">
        <v>89</v>
      </c>
      <c r="J45">
        <f t="shared" si="2"/>
        <v>84.35</v>
      </c>
    </row>
    <row r="46" spans="1:10" x14ac:dyDescent="0.25">
      <c r="A46" t="s">
        <v>133</v>
      </c>
      <c r="B46" t="s">
        <v>134</v>
      </c>
      <c r="C46" t="s">
        <v>135</v>
      </c>
      <c r="D46">
        <v>45</v>
      </c>
      <c r="E46">
        <v>64</v>
      </c>
      <c r="F46">
        <v>65</v>
      </c>
      <c r="G46">
        <v>91</v>
      </c>
      <c r="H46">
        <v>96</v>
      </c>
      <c r="I46">
        <v>58</v>
      </c>
      <c r="J46">
        <f t="shared" si="2"/>
        <v>71.05</v>
      </c>
    </row>
    <row r="47" spans="1:10" x14ac:dyDescent="0.25">
      <c r="A47" t="s">
        <v>136</v>
      </c>
      <c r="B47" t="s">
        <v>137</v>
      </c>
      <c r="C47" t="s">
        <v>138</v>
      </c>
      <c r="D47">
        <v>51</v>
      </c>
      <c r="E47">
        <v>59</v>
      </c>
      <c r="F47">
        <v>66</v>
      </c>
      <c r="G47">
        <v>72</v>
      </c>
      <c r="H47">
        <v>96</v>
      </c>
      <c r="I47">
        <v>61</v>
      </c>
      <c r="J47">
        <f t="shared" si="2"/>
        <v>71.699999999999989</v>
      </c>
    </row>
    <row r="48" spans="1:10" x14ac:dyDescent="0.25">
      <c r="A48" t="s">
        <v>139</v>
      </c>
      <c r="B48" t="s">
        <v>140</v>
      </c>
      <c r="C48" t="s">
        <v>141</v>
      </c>
      <c r="D48">
        <v>70</v>
      </c>
      <c r="E48">
        <v>78</v>
      </c>
      <c r="F48">
        <v>87</v>
      </c>
      <c r="G48">
        <v>84</v>
      </c>
      <c r="H48">
        <v>66</v>
      </c>
      <c r="I48">
        <v>75</v>
      </c>
      <c r="J48">
        <f t="shared" si="2"/>
        <v>73.25</v>
      </c>
    </row>
    <row r="49" spans="1:10" x14ac:dyDescent="0.25">
      <c r="A49" t="s">
        <v>142</v>
      </c>
      <c r="B49" t="s">
        <v>143</v>
      </c>
      <c r="C49" t="s">
        <v>144</v>
      </c>
      <c r="D49">
        <v>90</v>
      </c>
      <c r="E49">
        <v>55</v>
      </c>
      <c r="F49">
        <v>76</v>
      </c>
      <c r="G49">
        <v>57</v>
      </c>
      <c r="H49">
        <v>89</v>
      </c>
      <c r="I49">
        <v>49</v>
      </c>
      <c r="J49">
        <f t="shared" si="2"/>
        <v>65.099999999999994</v>
      </c>
    </row>
    <row r="50" spans="1:10" x14ac:dyDescent="0.25">
      <c r="A50" t="s">
        <v>145</v>
      </c>
      <c r="B50" t="s">
        <v>146</v>
      </c>
      <c r="C50" t="s">
        <v>147</v>
      </c>
      <c r="D50">
        <v>67</v>
      </c>
      <c r="E50">
        <v>84</v>
      </c>
      <c r="F50">
        <v>48</v>
      </c>
      <c r="G50">
        <v>67</v>
      </c>
      <c r="H50">
        <v>67</v>
      </c>
      <c r="I50">
        <v>65</v>
      </c>
      <c r="J50">
        <f t="shared" si="2"/>
        <v>65.900000000000006</v>
      </c>
    </row>
    <row r="51" spans="1:10" x14ac:dyDescent="0.25">
      <c r="A51" t="s">
        <v>148</v>
      </c>
      <c r="B51" t="s">
        <v>149</v>
      </c>
      <c r="C51" t="s">
        <v>150</v>
      </c>
      <c r="D51">
        <v>65</v>
      </c>
      <c r="E51">
        <v>87</v>
      </c>
      <c r="F51">
        <v>67</v>
      </c>
      <c r="G51">
        <v>54</v>
      </c>
      <c r="H51">
        <v>98</v>
      </c>
      <c r="I51">
        <v>60</v>
      </c>
      <c r="J51">
        <f t="shared" si="2"/>
        <v>73.05</v>
      </c>
    </row>
    <row r="52" spans="1:10" x14ac:dyDescent="0.25">
      <c r="A52" t="s">
        <v>151</v>
      </c>
      <c r="B52" t="s">
        <v>152</v>
      </c>
      <c r="C52" t="s">
        <v>153</v>
      </c>
      <c r="D52">
        <v>68</v>
      </c>
      <c r="E52">
        <v>73</v>
      </c>
      <c r="F52">
        <v>83</v>
      </c>
      <c r="G52">
        <v>78</v>
      </c>
      <c r="H52">
        <v>85</v>
      </c>
      <c r="I52">
        <v>79</v>
      </c>
      <c r="J52">
        <f t="shared" si="2"/>
        <v>80.099999999999994</v>
      </c>
    </row>
  </sheetData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ribbon startFromScratch="false">
    <tabs>
      <tab id="customTab" label="CP212">
        <group id="customGroup" label="Assignment 5">
          <button id="customButton" label="Start" imageMso="HappyFace" size="large" onAction="Callba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Welcome</vt:lpstr>
      <vt:lpstr>Example 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DanielTN</dc:creator>
  <cp:lastModifiedBy>DanielTN</cp:lastModifiedBy>
  <dcterms:created xsi:type="dcterms:W3CDTF">2021-12-03T20:55:30Z</dcterms:created>
  <dcterms:modified xsi:type="dcterms:W3CDTF">2021-12-09T01:34:05Z</dcterms:modified>
</cp:coreProperties>
</file>